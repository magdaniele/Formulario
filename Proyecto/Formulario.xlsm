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imelines/timeline4.xml" ContentType="application/vnd.ms-excel.timelin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5F0529C2-88F9-482E-942A-40BF4D846E2D}" xr6:coauthVersionLast="47" xr6:coauthVersionMax="47" xr10:uidLastSave="{00000000-0000-0000-0000-000000000000}"/>
  <bookViews>
    <workbookView xWindow="-120" yWindow="-120" windowWidth="20730" windowHeight="11760" firstSheet="2" activeTab="2" xr2:uid="{DCB85F6F-DCE1-4F4A-B3F3-7EA35FBDCF6E}"/>
  </bookViews>
  <sheets>
    <sheet name="DashboardGC" sheetId="9" state="hidden" r:id="rId1"/>
    <sheet name="SecurityAndHealthy" sheetId="3" state="hidden" r:id="rId2"/>
    <sheet name="DashboardSH" sheetId="10" r:id="rId3"/>
    <sheet name="DataBoxSH" sheetId="5" state="hidden" r:id="rId4"/>
    <sheet name="PersonByArea" sheetId="4" state="hidden" r:id="rId5"/>
    <sheet name="GarbageClassificationDT" sheetId="7" state="hidden" r:id="rId6"/>
    <sheet name="SecurityAndHealthyDT" sheetId="6" state="hidden" r:id="rId7"/>
  </sheets>
  <definedNames>
    <definedName name="NativeTimeline_FECHA">#N/A</definedName>
    <definedName name="NativeTimeline_FECHA1">#N/A</definedName>
    <definedName name="SegmentaciónDeDatos_ACTIVIDAD">#N/A</definedName>
    <definedName name="SegmentaciónDeDatos_NOMBRE">#N/A</definedName>
    <definedName name="SegmentaciónDeDatos_PERSONA">#N/A</definedName>
    <definedName name="SegmentaciónDeDatos_SECCIÓN_DE_VENTA">#N/A</definedName>
    <definedName name="SegmentaciónDeDatos_SITIO_DEL_EVENTO">#N/A</definedName>
    <definedName name="SegmentaciónDeDatos_TIPO_DE_REPORTE">#N/A</definedName>
  </definedNames>
  <calcPr calcId="191029"/>
  <pivotCaches>
    <pivotCache cacheId="747" r:id="rId8"/>
    <pivotCache cacheId="827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  <x15:timelineCacheRef r:id="rId1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<sst xmlns="http://schemas.openxmlformats.org/spreadsheetml/2006/main" count="330" uniqueCount="178">
  <si>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</si>
  <si>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</si>
  <si>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</si>
  <si>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</si>
  <si>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</si>
  <si>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</si>
  <si>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</si>
  <si>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</si>
  <si>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</si>
  <si>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</si>
  <si>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</si>
  <si>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</si>
  <si>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</si>
  <si>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</si>
  <si>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</si>
  <si>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</si>
  <si>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</si>
  <si>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</si>
  <si>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</si>
  <si>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</si>
  <si>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</si>
  <si>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</si>
  <si>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</si>
  <si>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</si>
  <si>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</si>
  <si>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</si>
  <si>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</si>
  <si>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</si>
  <si>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</si>
  <si>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</si>
  <si>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</si>
  <si>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</si>
  <si>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</si>
  <si>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</si>
  <si>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</si>
  <si>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</si>
  <si>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</si>
  <si>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</si>
  <si>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</si>
  <si>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</si>
  <si>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</si>
  <si>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</si>
  <si>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</si>
  <si>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</si>
  <si>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</si>
  <si>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</si>
  <si>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</si>
  <si>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</si>
  <si>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</si>
  <si>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</si>
  <si>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</si>
  <si>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</si>
  <si>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</si>
  <si>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</si>
  <si>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</si>
  <si>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</si>
  <si>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</si>
  <si>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</si>
  <si>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</si>
  <si>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</si>
  <si>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</si>
  <si>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</si>
  <si>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</si>
  <si>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</si>
  <si>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</si>
  <si>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</si>
  <si>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</si>
  <si>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</si>
  <si>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</si>
  <si>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</si>
  <si>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</si>
  <si>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</si>
  <si>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</si>
  <si>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</si>
  <si>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</si>
  <si>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</si>
  <si>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</si>
  <si>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</si>
  <si>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</si>
  <si>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</si>
  <si>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</si>
  <si>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</si>
  <si>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</si>
  <si>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</si>
  <si>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</si>
  <si>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</si>
  <si>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</si>
  <si>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</si>
  <si>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</si>
  <si>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</si>
  <si>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</si>
  <si>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</si>
  <si>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</si>
  <si>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</si>
  <si>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</si>
  <si>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</si>
  <si>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</si>
  <si>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</si>
  <si>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</si>
  <si>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</si>
  <si>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</si>
  <si>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</si>
  <si>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</si>
  <si>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</si>
  <si>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</si>
  <si>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</si>
  <si>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</si>
  <si>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</si>
  <si>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</si>
  <si>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</si>
  <si>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</si>
  <si>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</si>
  <si>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</si>
  <si>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</si>
  <si>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</si>
  <si>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</si>
  <si>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</si>
  <si>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</si>
  <si>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</si>
  <si>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</si>
  <si>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</si>
  <si>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</si>
  <si>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</si>
  <si>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</si>
  <si>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</si>
  <si>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</si>
  <si>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</si>
  <si>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</si>
  <si>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</si>
  <si>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</si>
  <si>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</si>
  <si>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</si>
  <si>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</si>
  <si>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</si>
  <si>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</si>
  <si>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</si>
  <si>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</si>
  <si>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</si>
  <si>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</si>
  <si>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</si>
  <si>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</si>
  <si>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</si>
  <si>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</si>
  <si>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</si>
  <si>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</si>
  <si>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</si>
  <si>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</si>
  <si>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</si>
  <si>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</si>
  <si>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</si>
  <si>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</si>
  <si>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</si>
  <si>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</si>
  <si>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</si>
  <si>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</si>
  <si>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</si>
  <si>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</si>
  <si>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</si>
  <si>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</si>
  <si>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</si>
  <si>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</si>
  <si>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</si>
  <si>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</si>
  <si>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</si>
  <si>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</si>
  <si>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</si>
  <si>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</si>
  <si>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</si>
  <si>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</si>
  <si>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</si>
  <si>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</si>
  <si>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</si>
  <si>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</si>
  <si>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</si>
  <si>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</si>
  <si>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</si>
  <si>
    <t>Muerte</t>
  </si>
  <si>
    <t>NO APLICA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</si>
</sst>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0404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1" xfId="0" applyNumberForma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/>
    <xf numFmtId="0" fontId="0" fillId="2" borderId="0" xfId="0" applyFill="1"/>
  </cellXfs>
  <cellStyles count="1">
    <cellStyle name="Normal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D52F4AF6-F740-4C3E-AC09-F6652DA108F2}">
      <tableStyleElement type="wholeTable" dxfId="19"/>
      <tableStyleElement type="headerRow" dxfId="18"/>
    </tableStyle>
    <tableStyle name="Estilo de escala de tiempo 2" pivot="0" table="0" count="8" xr9:uid="{BF8B141D-EDCF-4812-869F-B7FE2A2276F7}">
      <tableStyleElement type="wholeTable" dxfId="17"/>
      <tableStyleElement type="headerRow" dxfId="16"/>
    </tableStyle>
    <tableStyle name="Estilo de segmentación de datos 1" pivot="0" table="0" count="10" xr9:uid="{D0F140CC-BD4B-4E48-BF44-3857A8280049}">
      <tableStyleElement type="wholeTable" dxfId="15"/>
      <tableStyleElement type="headerRow" dxfId="14"/>
    </tableStyle>
    <tableStyle name="TimeSlicerStyleDark1 2" pivot="0" table="0" count="9" xr9:uid="{76C9D79A-DDBE-4936-BB01-4E8380E0AB50}">
      <tableStyleElement type="wholeTable" dxfId="13"/>
      <tableStyleElement type="headerRow" dxfId="12"/>
    </tableStyle>
  </tableStyles>
  <colors>
    <mruColors>
      <color rgb="FF40404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4" tint="-0.24994659260841701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 patternType="solid">
              <bgColor theme="4" tint="-0.499984740745262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9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6795556505021"/>
              <bgColor theme="1" tint="0.499984740745262"/>
            </patternFill>
          </fill>
        </dxf>
        <dxf>
          <fill>
            <patternFill patternType="solid">
              <fgColor theme="0"/>
              <bgColor theme="4" tint="-0.499984740745262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Estilo de escala de tiempo 2">
        <x15:timelineStyle name="Estilo de escala de tiempo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Estilo de escala de tiempo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11/relationships/timelineCache" Target="timelineCaches/timelineCache2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10" Type="http://schemas.microsoft.com/office/2007/relationships/slicerCache" Target="slicerCaches/slicerCache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[Formulario.xlsm]GarbageClassificationDT!GarbageTable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</a:t>
            </a:r>
            <a:r>
              <a:rPr lang="es-MX" baseline="0"/>
              <a:t> por fecha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0-4F75-9CE3-E1A6FC47021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0-4F75-9CE3-E1A6FC47021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0-4F75-9CE3-E1A6FC47021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0-4F75-9CE3-E1A6FC47021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0-4F75-9CE3-E1A6FC47021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0-4F75-9CE3-E1A6FC47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[Formulario.xlsm]GarbageClassificationDT!IndividualGTable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persona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6-4D4A-9823-007C4CFF32DE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6-4D4A-9823-007C4CFF32DE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36-4D4A-9823-007C4CFF32DE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36-4D4A-9823-007C4CFF32DE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36-4D4A-9823-007C4CFF32DE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36-4D4A-9823-007C4CFF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[Formulario.xlsm]GarbageClassificationDT!AreaT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B-47F4-B3DD-ED5DCA0B74F7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B-47F4-B3DD-ED5DCA0B74F7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B-47F4-B3DD-ED5DCA0B74F7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B-47F4-B3DD-ED5DCA0B74F7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B-47F4-B3DD-ED5DCA0B74F7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B-47F4-B3DD-ED5DCA0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 y accidentes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E57-9367-12BBF4211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Accidentes por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EF-4898-93B0-B2EC2E1A93B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EF-4898-93B0-B2EC2E1A93BC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EF-4898-93B0-B2EC2E1A93B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EF-4898-93B0-B2EC2E1A93BC}"/>
              </c:ext>
            </c:extLst>
          </c:dPt>
          <c:dPt>
            <c:idx val="4"/>
            <c:bubble3D val="0"/>
            <c:spPr>
              <a:solidFill>
                <a:schemeClr val="accent1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EF-4898-93B0-B2EC2E1A93BC}"/>
              </c:ext>
            </c:extLst>
          </c:dPt>
          <c:dPt>
            <c:idx val="5"/>
            <c:bubble3D val="0"/>
            <c:spPr>
              <a:solidFill>
                <a:schemeClr val="accent1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EF-4898-93B0-B2EC2E1A93BC}"/>
              </c:ext>
            </c:extLst>
          </c:dPt>
          <c:dPt>
            <c:idx val="6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EF-4898-93B0-B2EC2E1A93BC}"/>
              </c:ext>
            </c:extLst>
          </c:dPt>
          <c:dPt>
            <c:idx val="7"/>
            <c:bubble3D val="0"/>
            <c:spPr>
              <a:solidFill>
                <a:schemeClr val="accent1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EF-4898-93B0-B2EC2E1A9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CEF-4898-93B0-B2EC2E1A93BC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3D-4747-B64B-AEC6471AB794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E3D-4747-B64B-AEC6471AB79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</a:t>
            </a:r>
            <a:r>
              <a:rPr lang="es-MX" baseline="0"/>
              <a:t> y accidentes segun su tipo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F72-9E46-70829AF792F2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CC-4BF9-8F28-11C9E4C6F974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CC-4BF9-8F28-11C9E4C6F974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CC-4BF9-8F28-11C9E4C6F974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CC-4BF9-8F28-11C9E4C6F974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CC-4BF9-8F28-11C9E4C6F974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CC-4BF9-8F28-11C9E4C6F974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CC-4BF9-8F28-11C9E4C6F974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CC-4BF9-8F28-11C9E4C6F974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CC-4BF9-8F28-11C9E4C6F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5-42AC-8EEC-225EA4F4A350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5-42AC-8EEC-225EA4F4A350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5-42AC-8EEC-225EA4F4A350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5-42AC-8EEC-225EA4F4A350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5-42AC-8EEC-225EA4F4A350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5-42AC-8EEC-225EA4F4A3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7-450B-8FA8-13419071A981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67-450B-8FA8-13419071A981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67-450B-8FA8-13419071A981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67-450B-8FA8-13419071A981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67-450B-8FA8-13419071A981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67-450B-8FA8-13419071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7-4028-974D-07E3E171DC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7-4028-974D-07E3E171DC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7-4028-974D-07E3E171DC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7-4028-974D-07E3E171DC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47-4028-974D-07E3E171DC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FF-4A95-9D18-1E37FD5512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FF-4A95-9D18-1E37FD5512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FF-4A95-9D18-1E37FD551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B33-4153-9C64-2504A3881A26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B33-4153-9C64-2504A3881A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707-A550-19C39B66DACC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E0-4257-B4AE-86DB69843E15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E0-4257-B4AE-86DB69843E15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E0-4257-B4AE-86DB69843E15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E0-4257-B4AE-86DB69843E15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FE0-4257-B4AE-86DB69843E15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E0-4257-B4AE-86DB69843E15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FE0-4257-B4AE-86DB69843E15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E0-4257-B4AE-86DB69843E15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FE0-4257-B4AE-86DB6984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135082</xdr:colOff>
      <xdr:row>14</xdr:row>
      <xdr:rowOff>75893</xdr:rowOff>
    </xdr:from>
    <xdr:to>
      <xdr:col>17</xdr:col>
      <xdr:colOff>149524</xdr:colOff>
      <xdr:row>34</xdr:row>
      <xdr:rowOff>172969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477205</xdr:colOff>
      <xdr:row>39</xdr:row>
      <xdr:rowOff>27106</xdr:rowOff>
    </xdr:from>
    <xdr:to>
      <xdr:col>15</xdr:col>
      <xdr:colOff>438150</xdr:colOff>
      <xdr:row>67</xdr:row>
      <xdr:rowOff>58015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239278</xdr:colOff>
      <xdr:row>15</xdr:row>
      <xdr:rowOff>17181</xdr:rowOff>
    </xdr:from>
    <xdr:to>
      <xdr:col>29</xdr:col>
      <xdr:colOff>534747</xdr:colOff>
      <xdr:row>22</xdr:row>
      <xdr:rowOff>32679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2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9278" y="2874681"/>
              <a:ext cx="3343469" cy="1348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717683</xdr:colOff>
      <xdr:row>26</xdr:row>
      <xdr:rowOff>149066</xdr:rowOff>
    </xdr:from>
    <xdr:to>
      <xdr:col>30</xdr:col>
      <xdr:colOff>273571</xdr:colOff>
      <xdr:row>39</xdr:row>
      <xdr:rowOff>154717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1683" y="5102066"/>
              <a:ext cx="184188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28909</xdr:colOff>
      <xdr:row>26</xdr:row>
      <xdr:rowOff>149355</xdr:rowOff>
    </xdr:from>
    <xdr:to>
      <xdr:col>27</xdr:col>
      <xdr:colOff>340167</xdr:colOff>
      <xdr:row>39</xdr:row>
      <xdr:rowOff>155006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CTIVIDAD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8909" y="5102355"/>
              <a:ext cx="183525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628650</xdr:colOff>
      <xdr:row>5</xdr:row>
      <xdr:rowOff>47624</xdr:rowOff>
    </xdr:from>
    <xdr:to>
      <xdr:col>21</xdr:col>
      <xdr:colOff>410936</xdr:colOff>
      <xdr:row>12</xdr:row>
      <xdr:rowOff>129267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534650" y="1000124"/>
          <a:ext cx="5878286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RESIDUOS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17</xdr:col>
      <xdr:colOff>323730</xdr:colOff>
      <xdr:row>36</xdr:row>
      <xdr:rowOff>50546</xdr:rowOff>
    </xdr:from>
    <xdr:to>
      <xdr:col>28</xdr:col>
      <xdr:colOff>342900</xdr:colOff>
      <xdr:row>66</xdr:row>
      <xdr:rowOff>113434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51</xdr:row>
          <xdr:rowOff>123825</xdr:rowOff>
        </xdr:from>
        <xdr:to>
          <xdr:col>33</xdr:col>
          <xdr:colOff>447675</xdr:colOff>
          <xdr:row>56</xdr:row>
          <xdr:rowOff>57150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628650</xdr:colOff>
      <xdr:row>5</xdr:row>
      <xdr:rowOff>47624</xdr:rowOff>
    </xdr:from>
    <xdr:to>
      <xdr:col>22</xdr:col>
      <xdr:colOff>207818</xdr:colOff>
      <xdr:row>12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0534650" y="1000124"/>
          <a:ext cx="6437168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SEGURIDAD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5</xdr:col>
      <xdr:colOff>409574</xdr:colOff>
      <xdr:row>48</xdr:row>
      <xdr:rowOff>71438</xdr:rowOff>
    </xdr:from>
    <xdr:to>
      <xdr:col>12</xdr:col>
      <xdr:colOff>380999</xdr:colOff>
      <xdr:row>68</xdr:row>
      <xdr:rowOff>38100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42137</xdr:colOff>
      <xdr:row>38</xdr:row>
      <xdr:rowOff>166534</xdr:rowOff>
    </xdr:from>
    <xdr:to>
      <xdr:col>28</xdr:col>
      <xdr:colOff>493568</xdr:colOff>
      <xdr:row>58</xdr:row>
      <xdr:rowOff>74467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103908</xdr:colOff>
      <xdr:row>15</xdr:row>
      <xdr:rowOff>138545</xdr:rowOff>
    </xdr:from>
    <xdr:to>
      <xdr:col>26</xdr:col>
      <xdr:colOff>389658</xdr:colOff>
      <xdr:row>21</xdr:row>
      <xdr:rowOff>109970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 4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7908" y="2996045"/>
              <a:ext cx="333375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502227</xdr:colOff>
      <xdr:row>16</xdr:row>
      <xdr:rowOff>51955</xdr:rowOff>
    </xdr:from>
    <xdr:to>
      <xdr:col>15</xdr:col>
      <xdr:colOff>329045</xdr:colOff>
      <xdr:row>44</xdr:row>
      <xdr:rowOff>34636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706582</xdr:colOff>
      <xdr:row>24</xdr:row>
      <xdr:rowOff>21649</xdr:rowOff>
    </xdr:from>
    <xdr:to>
      <xdr:col>21</xdr:col>
      <xdr:colOff>249382</xdr:colOff>
      <xdr:row>37</xdr:row>
      <xdr:rowOff>69274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 DE REPORTE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2582" y="459364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585355</xdr:colOff>
      <xdr:row>24</xdr:row>
      <xdr:rowOff>4330</xdr:rowOff>
    </xdr:from>
    <xdr:to>
      <xdr:col>24</xdr:col>
      <xdr:colOff>128155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ECCIÓN DE VENTA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 DE 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87355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455470</xdr:colOff>
      <xdr:row>24</xdr:row>
      <xdr:rowOff>12989</xdr:rowOff>
    </xdr:from>
    <xdr:to>
      <xdr:col>26</xdr:col>
      <xdr:colOff>760270</xdr:colOff>
      <xdr:row>37</xdr:row>
      <xdr:rowOff>60614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ERSONA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3470" y="458498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360218</xdr:colOff>
      <xdr:row>24</xdr:row>
      <xdr:rowOff>4330</xdr:rowOff>
    </xdr:from>
    <xdr:to>
      <xdr:col>29</xdr:col>
      <xdr:colOff>665018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ITIO DEL EVENTO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IO DEL EV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34218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561975</xdr:colOff>
          <xdr:row>58</xdr:row>
          <xdr:rowOff>104775</xdr:rowOff>
        </xdr:from>
        <xdr:to>
          <xdr:col>28</xdr:col>
          <xdr:colOff>685800</xdr:colOff>
          <xdr:row>63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488706</xdr:colOff>
      <xdr:row>16</xdr:row>
      <xdr:rowOff>0</xdr:rowOff>
    </xdr:from>
    <xdr:to>
      <xdr:col>4</xdr:col>
      <xdr:colOff>393662</xdr:colOff>
      <xdr:row>23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206" y="3048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175054</xdr:colOff>
      <xdr:row>27</xdr:row>
      <xdr:rowOff>64358</xdr:rowOff>
    </xdr:from>
    <xdr:to>
      <xdr:col>10</xdr:col>
      <xdr:colOff>127429</xdr:colOff>
      <xdr:row>41</xdr:row>
      <xdr:rowOff>140559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721303</xdr:colOff>
      <xdr:row>10</xdr:row>
      <xdr:rowOff>131619</xdr:rowOff>
    </xdr:from>
    <xdr:to>
      <xdr:col>7</xdr:col>
      <xdr:colOff>354038</xdr:colOff>
      <xdr:row>17</xdr:row>
      <xdr:rowOff>139412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174" y="2102309"/>
              <a:ext cx="3327778" cy="138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8</xdr:col>
      <xdr:colOff>3116974</xdr:colOff>
      <xdr:row>13</xdr:row>
      <xdr:rowOff>155684</xdr:rowOff>
    </xdr:from>
    <xdr:to>
      <xdr:col>9</xdr:col>
      <xdr:colOff>2598026</xdr:colOff>
      <xdr:row>27</xdr:row>
      <xdr:rowOff>139919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6.995316319444" createdVersion="7" refreshedVersion="7" minRefreshableVersion="3" recordCount="1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2-02-23T00:00:00" count="14">
        <d v="2021-09-05T00:00:00"/>
        <d v="2021-10-29T00:00:00"/>
        <d v="2021-04-12T00:00:00"/>
        <d v="2021-12-07T00:00:00"/>
        <d v="2022-02-22T00:00:00"/>
        <d v="2021-10-12T00:00:00"/>
        <d v="2021-10-31T00:00:00"/>
        <d v="2021-10-30T00:00:00"/>
        <d v="2021-10-19T00:00:00"/>
        <d v="2021-12-29T00:00:00"/>
        <d v="2021-03-23T00:00:00"/>
        <d v="2021-10-23T00:00:00"/>
        <d v="2021-10-25T00:00:00"/>
        <d v="2021-11-10T00:00:00"/>
      </sharedItems>
    </cacheField>
    <cacheField name="NOMBRE" numFmtId="0">
      <sharedItems count="16">
        <s v="ROSA BUSTAMENTE"/>
        <s v="ALVARO VILLADIEGO"/>
        <s v="VICTOR YANERIS "/>
        <s v="EDEL VILLALBA "/>
        <s v="LUDIS MENDEZ"/>
        <s v="MELISA MORENO"/>
        <s v="SEGUNDO CORDERO "/>
        <s v="WILSON RUIZ "/>
        <s v="TAMAR CARABALLO"/>
        <s v="GREGORIO RAMOS"/>
        <s v="JAIME MORALES "/>
        <s v="GUILLERMO ALMANZA "/>
        <s v="MARIA SAEZ "/>
        <s v="SIXTA MEJIA "/>
        <s v="CARLOS RUIZ "/>
        <s v="YALENYS PEÑA"/>
      </sharedItems>
    </cacheField>
    <cacheField name="ACTIVIDAD" numFmtId="0">
      <sharedItems count="4">
        <s v="COMIDAS Y BEBIDAS"/>
        <s v="PESCADERIA "/>
        <s v="FRUTAS Y VERDURAS"/>
        <s v="CARNICOS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" maxValue="63356"/>
    </cacheField>
    <cacheField name="PAPELES Y CARTONES" numFmtId="0">
      <sharedItems containsSemiMixedTypes="0" containsString="0" containsNumber="1" minValue="23" maxValue="63542"/>
    </cacheField>
    <cacheField name="PLASTICOS" numFmtId="0">
      <sharedItems containsSemiMixedTypes="0" containsString="0" containsNumber="1" containsInteger="1" minValue="0" maxValue="6735"/>
    </cacheField>
    <cacheField name="VIDRIOS" numFmtId="0">
      <sharedItems containsSemiMixedTypes="0" containsString="0" containsNumber="1" containsInteger="1" minValue="2" maxValue="6524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7.004363773151" createdVersion="7" refreshedVersion="7" minRefreshableVersion="3" recordCount="12" xr:uid="{CC90F6A1-2CC0-455F-927B-B8FB169C8B3A}">
  <cacheSource type="worksheet">
    <worksheetSource name="SecurityAndHealthyTable"/>
  </cacheSource>
  <cacheFields count="8">
    <cacheField name="TIPO DE REPORTE" numFmtId="0">
      <sharedItems count="3">
        <s v="Muerte"/>
        <s v="Accidente"/>
        <s v="Enfermedad"/>
      </sharedItems>
    </cacheField>
    <cacheField name="SELECCIÓN DE ENFERMEDAD O ACCIDENTE" numFmtId="0">
      <sharedItems count="10">
        <s v="NO APLICA"/>
        <s v="Contusión"/>
        <s v="Fractura"/>
        <s v="Artrosis"/>
        <s v="Envenenamiento o intoxicación"/>
        <s v="Relacionadas con la piel"/>
        <s v="Tuberculosis"/>
        <s v="Dengue"/>
        <s v="Bronquitis u otra enfermedad respiratorio"/>
        <s v="Cortes y pinchazos"/>
      </sharedItems>
    </cacheField>
    <cacheField name="FECHA" numFmtId="14">
      <sharedItems containsSemiMixedTypes="0" containsNonDate="0" containsDate="1" containsString="0" minDate="2020-10-24T00:00:00" maxDate="2021-10-31T00:00:00" count="10">
        <d v="2021-09-22T00:00:00"/>
        <d v="2021-06-16T00:00:00"/>
        <d v="2021-07-20T00:00:00"/>
        <d v="2021-10-18T00:00:00"/>
        <d v="2021-10-05T00:00:00"/>
        <d v="2021-10-25T00:00:00"/>
        <d v="2020-10-24T00:00:00"/>
        <d v="2021-01-01T00:00:00"/>
        <d v="2021-10-30T00:00:00"/>
        <d v="2021-09-10T00:00:00"/>
      </sharedItems>
    </cacheField>
    <cacheField name="SECCIÓN DE VENTA" numFmtId="0">
      <sharedItems count="4">
        <s v="COMIDAS Y BEBIDAS"/>
        <s v="PESCADERIA "/>
        <s v="FRUTAS Y VERDURAS"/>
        <s v="CARNICOS "/>
      </sharedItems>
    </cacheField>
    <cacheField name="PERSONA" numFmtId="0">
      <sharedItems count="10">
        <s v="YANETH MEJIA"/>
        <s v="SIXTA MEJIA "/>
        <s v="SERGIO FUENTES"/>
        <s v="ROSA BUSTAMENTE"/>
        <s v="MELISA MORENO"/>
        <s v="NURIS PINEDA"/>
        <s v="CESAR ARGUMEDO "/>
        <s v="DORIS MORENO"/>
        <s v="MARGARITA AVILEZ"/>
        <s v="LUIS RUIZ "/>
      </sharedItems>
    </cacheField>
    <cacheField name="SITIO DEL EVENTO" numFmtId="0">
      <sharedItems count="4">
        <s v="Área administrativa"/>
        <s v="Puesto de trabajo"/>
        <s v="Pasillos"/>
        <s v="Baño"/>
      </sharedItems>
    </cacheField>
    <cacheField name="CAUSAS BÁSICAS" numFmtId="0">
      <sharedItems/>
    </cacheField>
    <cacheField name="CAUSAS INMEDIATAS" numFmtId="0">
      <sharedItems/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"/>
    <n v="5"/>
    <n v="3"/>
    <n v="37"/>
    <n v="354"/>
    <n v="2"/>
  </r>
  <r>
    <x v="1"/>
    <x v="1"/>
    <x v="1"/>
    <n v="245"/>
    <n v="2423"/>
    <n v="24"/>
    <n v="234.14"/>
    <n v="4124"/>
    <n v="2351"/>
  </r>
  <r>
    <x v="2"/>
    <x v="2"/>
    <x v="0"/>
    <n v="432"/>
    <n v="346"/>
    <n v="876"/>
    <n v="896"/>
    <n v="768"/>
    <n v="53"/>
  </r>
  <r>
    <x v="3"/>
    <x v="3"/>
    <x v="2"/>
    <n v="21"/>
    <n v="43"/>
    <n v="436"/>
    <n v="74"/>
    <n v="243"/>
    <n v="124"/>
  </r>
  <r>
    <x v="4"/>
    <x v="4"/>
    <x v="2"/>
    <n v="143"/>
    <n v="4315"/>
    <n v="3645"/>
    <n v="63542"/>
    <n v="4123"/>
    <n v="2532"/>
  </r>
  <r>
    <x v="5"/>
    <x v="5"/>
    <x v="2"/>
    <n v="214"/>
    <n v="124"/>
    <n v="256"/>
    <n v="376"/>
    <n v="6735"/>
    <n v="4123"/>
  </r>
  <r>
    <x v="6"/>
    <x v="6"/>
    <x v="3"/>
    <n v="123"/>
    <n v="43"/>
    <n v="2645"/>
    <n v="765"/>
    <n v="135"/>
    <n v="154"/>
  </r>
  <r>
    <x v="7"/>
    <x v="7"/>
    <x v="3"/>
    <n v="5"/>
    <n v="65"/>
    <n v="78"/>
    <n v="83"/>
    <n v="75"/>
    <n v="785"/>
  </r>
  <r>
    <x v="8"/>
    <x v="8"/>
    <x v="2"/>
    <n v="32"/>
    <n v="43"/>
    <n v="65"/>
    <n v="7880"/>
    <n v="42"/>
    <n v="6524"/>
  </r>
  <r>
    <x v="8"/>
    <x v="9"/>
    <x v="2"/>
    <n v="21"/>
    <n v="3234"/>
    <n v="54"/>
    <n v="23"/>
    <n v="31"/>
    <n v="4"/>
  </r>
  <r>
    <x v="9"/>
    <x v="10"/>
    <x v="3"/>
    <n v="1141"/>
    <n v="532"/>
    <n v="63356"/>
    <n v="36"/>
    <n v="321"/>
    <n v="132"/>
  </r>
  <r>
    <x v="10"/>
    <x v="11"/>
    <x v="3"/>
    <n v="422"/>
    <n v="42323"/>
    <n v="522"/>
    <n v="52"/>
    <n v="2"/>
    <n v="452"/>
  </r>
  <r>
    <x v="3"/>
    <x v="4"/>
    <x v="2"/>
    <n v="21"/>
    <n v="43"/>
    <n v="54"/>
    <n v="56"/>
    <n v="764"/>
    <n v="231"/>
  </r>
  <r>
    <x v="7"/>
    <x v="12"/>
    <x v="0"/>
    <n v="413"/>
    <n v="3"/>
    <n v="65"/>
    <n v="31"/>
    <n v="53"/>
    <n v="13"/>
  </r>
  <r>
    <x v="11"/>
    <x v="2"/>
    <x v="0"/>
    <n v="214"/>
    <n v="42"/>
    <n v="64"/>
    <n v="7632"/>
    <n v="35"/>
    <n v="5"/>
  </r>
  <r>
    <x v="1"/>
    <x v="13"/>
    <x v="0"/>
    <n v="1"/>
    <n v="42"/>
    <n v="54"/>
    <n v="57"/>
    <n v="0"/>
    <n v="254"/>
  </r>
  <r>
    <x v="12"/>
    <x v="14"/>
    <x v="3"/>
    <n v="421"/>
    <n v="154"/>
    <n v="625"/>
    <n v="76"/>
    <n v="48"/>
    <n v="354"/>
  </r>
  <r>
    <x v="13"/>
    <x v="15"/>
    <x v="1"/>
    <n v="21"/>
    <n v="32"/>
    <n v="35"/>
    <n v="56"/>
    <n v="98"/>
    <n v="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s v="Falta de juicio"/>
    <s v="Omitir el cierre del equipo que no está en uso"/>
  </r>
  <r>
    <x v="0"/>
    <x v="0"/>
    <x v="1"/>
    <x v="0"/>
    <x v="1"/>
    <x v="0"/>
    <s v="Baja aptitud de aprendizaje"/>
    <s v="Uso de herramientas o equipo inadecuado o inapropiado (no defectuoso)"/>
  </r>
  <r>
    <x v="1"/>
    <x v="1"/>
    <x v="2"/>
    <x v="1"/>
    <x v="2"/>
    <x v="1"/>
    <s v="Comunicación inadecuada de las informaciones sobre aspectos de seguridad y salud"/>
    <s v="Iluminación inadecuada"/>
  </r>
  <r>
    <x v="1"/>
    <x v="2"/>
    <x v="3"/>
    <x v="0"/>
    <x v="3"/>
    <x v="0"/>
    <s v="Fatiga debido a la carga o duración de las tareas"/>
    <s v="Ropa inadecuada o inapropiada"/>
  </r>
  <r>
    <x v="2"/>
    <x v="3"/>
    <x v="4"/>
    <x v="2"/>
    <x v="4"/>
    <x v="2"/>
    <s v="Baja aptitud de aprendizaje"/>
    <s v="Uso de herramientas o equipo inadecuado o inapropiado (no defectuoso)"/>
  </r>
  <r>
    <x v="1"/>
    <x v="4"/>
    <x v="3"/>
    <x v="2"/>
    <x v="4"/>
    <x v="3"/>
    <s v="Falta de juicio"/>
    <s v="Ropa inadecuada o inapropiada"/>
  </r>
  <r>
    <x v="2"/>
    <x v="5"/>
    <x v="5"/>
    <x v="0"/>
    <x v="1"/>
    <x v="0"/>
    <s v="Transporte inadecuado de los materiales"/>
    <s v="Carencia del equipo de protección personal necesario"/>
  </r>
  <r>
    <x v="2"/>
    <x v="6"/>
    <x v="6"/>
    <x v="1"/>
    <x v="5"/>
    <x v="2"/>
    <s v="Baja aptitud de aprendizaje"/>
    <s v="Resbaloso"/>
  </r>
  <r>
    <x v="2"/>
    <x v="7"/>
    <x v="7"/>
    <x v="3"/>
    <x v="6"/>
    <x v="3"/>
    <s v="Enfermedad mental"/>
    <s v="Usar las manos en lugar de las herramientas manuales"/>
  </r>
  <r>
    <x v="2"/>
    <x v="8"/>
    <x v="8"/>
    <x v="2"/>
    <x v="7"/>
    <x v="0"/>
    <s v="Falta de juicio"/>
    <s v="Diseñado inapropiadamente"/>
  </r>
  <r>
    <x v="1"/>
    <x v="9"/>
    <x v="3"/>
    <x v="0"/>
    <x v="8"/>
    <x v="0"/>
    <s v="Fatiga debido a la carga o duración de las tareas"/>
    <s v="Métodos o procedimientos peligrosos, no especificados en otra parte"/>
  </r>
  <r>
    <x v="1"/>
    <x v="4"/>
    <x v="9"/>
    <x v="3"/>
    <x v="9"/>
    <x v="3"/>
    <s v="Baja aptitud de aprendizaje"/>
    <s v="Omitir el cierre del equipo que no está en us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74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37:G54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axis="axisRow" showAll="0">
      <items count="17">
        <item x="14"/>
        <item x="12"/>
        <item x="13"/>
        <item x="2"/>
        <item x="15"/>
        <item x="11"/>
        <item x="4"/>
        <item x="10"/>
        <item x="9"/>
        <item x="8"/>
        <item x="7"/>
        <item x="6"/>
        <item x="3"/>
        <item x="5"/>
        <item x="1"/>
        <item x="0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74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A3:G18" firstHeaderRow="0" firstDataRow="1" firstDataCol="1"/>
  <pivotFields count="9">
    <pivotField axis="axisRow" showAll="0" sortType="ascending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8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74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75:G80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82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A3:B7" firstHeaderRow="1" firstDataRow="1" firstDataCol="1"/>
  <pivotFields count="8">
    <pivotField axis="axisRow" showAll="0">
      <items count="4">
        <item x="1"/>
        <item x="2"/>
        <item x="0"/>
        <item t="default"/>
      </items>
    </pivotField>
    <pivotField dataField="1"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2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82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I3:T8" firstHeaderRow="1" firstDataRow="2" firstDataCol="1"/>
  <pivotFields count="8">
    <pivotField axis="axisRow" showAll="0">
      <items count="4">
        <item x="1"/>
        <item x="2"/>
        <item x="0"/>
        <item t="default"/>
      </items>
    </pivotField>
    <pivotField axis="axisCol" dataField="1" showAll="0">
      <items count="11">
        <item x="8"/>
        <item x="9"/>
        <item x="7"/>
        <item x="4"/>
        <item x="6"/>
        <item x="5"/>
        <item x="3"/>
        <item x="2"/>
        <item x="1"/>
        <item x="0"/>
        <item t="default"/>
      </items>
    </pivotField>
    <pivotField numFmtId="14"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uenta de SELECCIÓN DE ENFERMEDAD O ACCIDENTE" fld="1" subtotal="count" baseField="0" baseItem="0"/>
  </dataField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82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27:E33" firstHeaderRow="1" firstDataRow="2" firstDataCol="1"/>
  <pivotFields count="8">
    <pivotField axis="axisCol" showAll="0">
      <items count="4">
        <item x="1"/>
        <item x="2"/>
        <item x="0"/>
        <item t="default"/>
      </items>
    </pivotField>
    <pivotField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axis="axisRow" dataField="1"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uenta de SITIO DEL EVENTO" fld="5" subtotal="count" baseField="0" baseItem="0"/>
  </dataFields>
  <chartFormats count="2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3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3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3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3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3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64457117-4AF1-429C-97CD-7C60D8BEFA94}" sourceName="NOMBRE">
  <pivotTables>
    <pivotTable tabId="7" name="GarbageTable"/>
    <pivotTable tabId="7" name="AreaT"/>
    <pivotTable tabId="7" name="IndividualGTable"/>
  </pivotTables>
  <data>
    <tabular pivotCacheId="1919898445">
      <items count="16">
        <i x="1" s="1"/>
        <i x="14" s="1"/>
        <i x="3" s="1"/>
        <i x="9" s="1"/>
        <i x="11" s="1"/>
        <i x="10" s="1"/>
        <i x="4" s="1"/>
        <i x="12" s="1"/>
        <i x="5" s="1"/>
        <i x="0" s="1"/>
        <i x="6" s="1"/>
        <i x="13" s="1"/>
        <i x="8" s="1"/>
        <i x="2" s="1"/>
        <i x="7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" xr10:uid="{4C5D3EF8-6E69-47A0-84F4-B4F244A93788}" sourceName="ACTIVIDAD">
  <pivotTables>
    <pivotTable tabId="7" name="GarbageTable"/>
    <pivotTable tabId="7" name="AreaT"/>
    <pivotTable tabId="7" name="IndividualGTable"/>
  </pivotTables>
  <data>
    <tabular pivotCacheId="1919898445">
      <items count="4">
        <i x="3" s="1"/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REPORTE" xr10:uid="{F8B77329-50B9-4E80-92D4-06AD467853CA}" sourceName="TIPO DE REPORTE">
  <pivotTables>
    <pivotTable tabId="6" name="TablaDinámica14"/>
    <pivotTable tabId="6" name="TablaDinámica"/>
    <pivotTable tabId="6" name="TablaDinámica12"/>
  </pivotTables>
  <data>
    <tabular pivotCacheId="1203349222">
      <items count="3">
        <i x="1" s="1"/>
        <i x="2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_DE_VENTA" xr10:uid="{A7203561-AF52-468D-AF9D-A7252CD5B6BD}" sourceName="SECCIÓN DE VENTA">
  <pivotTables>
    <pivotTable tabId="6" name="TablaDinámica14"/>
    <pivotTable tabId="6" name="TablaDinámica"/>
    <pivotTable tabId="6" name="TablaDinámica12"/>
  </pivotTables>
  <data>
    <tabular pivotCacheId="1203349222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" xr10:uid="{52D9FFC6-612F-4049-91DB-A33B31146309}" sourceName="PERSONA">
  <pivotTables>
    <pivotTable tabId="6" name="TablaDinámica14"/>
    <pivotTable tabId="6" name="TablaDinámica"/>
    <pivotTable tabId="6" name="TablaDinámica12"/>
  </pivotTables>
  <data>
    <tabular pivotCacheId="1203349222">
      <items count="10">
        <i x="6" s="1"/>
        <i x="7" s="1"/>
        <i x="9" s="1"/>
        <i x="8" s="1"/>
        <i x="4" s="1"/>
        <i x="5" s="1"/>
        <i x="3" s="1"/>
        <i x="2" s="1"/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IO_DEL_EVENTO" xr10:uid="{05D740FC-59A7-46AE-A55C-6147C4A777FE}" sourceName="SITIO DEL EVENTO">
  <pivotTables>
    <pivotTable tabId="6" name="TablaDinámica14"/>
    <pivotTable tabId="6" name="TablaDinámica"/>
    <pivotTable tabId="6" name="TablaDinámica12"/>
  </pivotTables>
  <data>
    <tabular pivotCacheId="1203349222">
      <items count="4">
        <i x="0" s="1"/>
        <i x="3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EAAB3CE7-CA3D-4E42-86B4-4F47EF39EE91}" cache="SegmentaciónDeDatos_NOMBRE" caption="NOMBRE" startItem="7" style="Estilo de segmentación de datos 1" rowHeight="241300"/>
  <slicer name="ACTIVIDAD" xr10:uid="{0326CA1B-9E2F-4094-A750-8F5AA8E84227}" cache="SegmentaciónDeDatos_ACTIVIDAD" caption="ACTIVIDAD" style="Estilo de segmentación de dat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REPORTE" xr10:uid="{77F0BFEA-34B5-4713-919F-9677F68CD905}" cache="SegmentaciónDeDatos_TIPO_DE_REPORTE" caption="TIPO DE REPORTE" style="Estilo de segmentación de datos 1" rowHeight="241300"/>
  <slicer name="SECCIÓN DE VENTA" xr10:uid="{510B7085-1C44-44CE-9534-E950500EADD1}" cache="SegmentaciónDeDatos_SECCIÓN_DE_VENTA" caption="SECCIÓN DE VENTA" style="Estilo de segmentación de datos 1" rowHeight="241300"/>
  <slicer name="PERSONA" xr10:uid="{43BFFD5A-500D-4E88-9112-85017C5795D4}" cache="SegmentaciónDeDatos_PERSONA" caption="PERSONA" startItem="3" style="Estilo de segmentación de datos 1" rowHeight="241300"/>
  <slicer name="SITIO DEL EVENTO" xr10:uid="{743C1FC8-1704-4EE1-9D2F-1A838392A72C}" cache="SegmentaciónDeDatos_SITIO_DEL_EVENTO" caption="SITIO DEL EVENTO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13" totalsRowShown="0" headerRowDxfId="11" headerRowBorderDxfId="10" tableBorderDxfId="9" totalsRowBorderDxfId="8">
  <autoFilter ref="A1:H13" xr:uid="{2F4411A3-3F09-4A11-82AF-FF431A3CD5BE}"/>
  <tableColumns count="8">
    <tableColumn id="1" xr3:uid="{1B8C79A8-A039-492C-8463-1A7447D5696E}" name="TIPO DE REPORTE" dataDxfId="7"/>
    <tableColumn id="2" xr3:uid="{714C3BF7-30E4-47D0-A0E2-E097E374225C}" name="SELECCIÓN DE ENFERMEDAD O ACCIDENTE" dataDxfId="6"/>
    <tableColumn id="3" xr3:uid="{8921CE67-324E-42ED-97B0-4936E15289BA}" name="FECHA" dataDxfId="5"/>
    <tableColumn id="4" xr3:uid="{760DE753-4128-4DFC-9719-A35042AF26C1}" name="SECCIÓN DE VENTA" dataDxfId="4"/>
    <tableColumn id="5" xr3:uid="{34415C72-F9E0-41D4-968B-C2CD39EFC826}" name="PERSONA" dataDxfId="3"/>
    <tableColumn id="6" xr3:uid="{C2040ECA-6F4F-4F86-8D91-DF499A2DBFCF}" name="SITIO DEL EVENTO" dataDxfId="2"/>
    <tableColumn id="7" xr3:uid="{CA906205-D4FC-494D-B12B-F0005E77CA50}" name="CAUSAS BÁSICAS" dataDxfId="1"/>
    <tableColumn id="8" xr3:uid="{47EF7051-9A9E-4015-9F57-95641F5EF714}" name="CAUSAS INMEDIATA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CDDDC42-41CB-4BE3-87D2-D87611E6BB60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F70EFDCD-BF3D-4C20-A293-577C054AB7D7}" sourceName="FECHA">
  <pivotTables>
    <pivotTable tabId="6" name="TablaDinámica"/>
    <pivotTable tabId="6" name="TablaDinámica12"/>
    <pivotTable tabId="6" name="TablaDinámica14"/>
  </pivotTables>
  <state minimalRefreshVersion="6" lastRefreshVersion="6" pivotCacheId="1203349222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E11E5752-B10E-49BB-9217-1B1E81601AE1}" cache="NativeTimeline_FECHA" caption="FECHA" level="0" selectionLevel="0" scrollPosition="2021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4ECDD937-53A4-4F7A-A7D5-160B9097AD48}" cache="NativeTimeline_FECHA1" caption="FECHA" showHeader="0" level="2" selectionLevel="2" scrollPosition="2021-05-27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474312A-6102-4C94-AC66-3D23966E0F45}" cache="NativeTimeline_FECHA" caption="FECHA" level="2" selectionLevel="2" scrollPosition="2021-08-13T00:00:00" style="TimeSlicerStyleLight1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DBA2756-BBBD-4CF3-AE0C-F93B65CC3D83}" cache="NativeTimeline_FECHA1" caption="FECHA" level="2" selectionLevel="2" scrollPosition="2021-05-29T00:00:00" style="TimeSlicerStyleLight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3.x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8"/>
  <dimension ref="A1:BK213"/>
  <sheetViews>
    <sheetView topLeftCell="B19" zoomScale="50" zoomScaleNormal="50" workbookViewId="0">
      <selection activeCell="U22" sqref="U22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8" r:id="rId3" name="CommandButton1">
          <controlPr defaultSize="0" autoLine="0" r:id="rId4">
            <anchor moveWithCells="1">
              <from>
                <xdr:col>30</xdr:col>
                <xdr:colOff>323850</xdr:colOff>
                <xdr:row>51</xdr:row>
                <xdr:rowOff>123825</xdr:rowOff>
              </from>
              <to>
                <xdr:col>33</xdr:col>
                <xdr:colOff>447675</xdr:colOff>
                <xdr:row>56</xdr:row>
                <xdr:rowOff>57150</xdr:rowOff>
              </to>
            </anchor>
          </controlPr>
        </control>
      </mc:Choice>
      <mc:Fallback>
        <control shapeId="717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13"/>
  <sheetViews>
    <sheetView workbookViewId="0">
      <selection activeCell="A3" sqref="A3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9" t="s">
        <v>154</v>
      </c>
      <c r="B1" s="10" t="s">
        <v>155</v>
      </c>
      <c r="C1" s="14" t="s">
        <v>153</v>
      </c>
      <c r="D1" s="10" t="s">
        <v>156</v>
      </c>
      <c r="E1" s="10" t="s">
        <v>157</v>
      </c>
      <c r="F1" s="10" t="s">
        <v>158</v>
      </c>
      <c r="G1" s="10" t="s">
        <v>159</v>
      </c>
      <c r="H1" s="11" t="s">
        <v>160</v>
      </c>
    </row>
    <row r="2" spans="1:8" x14ac:dyDescent="0.25">
      <c r="A2" s="7" t="s">
        <v>176</v>
      </c>
      <c r="B2" s="3" t="s">
        <v>177</v>
      </c>
      <c r="C2" s="12">
        <v>44461</v>
      </c>
      <c r="D2" s="3" t="s">
        <v>89</v>
      </c>
      <c r="E2" s="3" t="s">
        <v>17</v>
      </c>
      <c r="F2" s="3" t="s">
        <v>109</v>
      </c>
      <c r="G2" s="3" t="s">
        <v>115</v>
      </c>
      <c r="H2" s="8" t="s">
        <v>133</v>
      </c>
    </row>
    <row r="3" spans="1:8" x14ac:dyDescent="0.25">
      <c r="A3" s="7" t="s">
        <v>176</v>
      </c>
      <c r="B3" s="3" t="s">
        <v>177</v>
      </c>
      <c r="C3" s="12">
        <v>44363</v>
      </c>
      <c r="D3" s="3" t="s">
        <v>89</v>
      </c>
      <c r="E3" s="3" t="s">
        <v>21</v>
      </c>
      <c r="F3" s="3" t="s">
        <v>109</v>
      </c>
      <c r="G3" s="3" t="s">
        <v>120</v>
      </c>
      <c r="H3" s="8" t="s">
        <v>121</v>
      </c>
    </row>
    <row r="4" spans="1:8" x14ac:dyDescent="0.25">
      <c r="A4" s="7" t="s">
        <v>162</v>
      </c>
      <c r="B4" s="3" t="s">
        <v>103</v>
      </c>
      <c r="C4" s="12">
        <v>44397</v>
      </c>
      <c r="D4" s="3" t="s">
        <v>88</v>
      </c>
      <c r="E4" s="3" t="s">
        <v>36</v>
      </c>
      <c r="F4" s="3" t="s">
        <v>99</v>
      </c>
      <c r="G4" s="3" t="s">
        <v>144</v>
      </c>
      <c r="H4" s="8" t="s">
        <v>148</v>
      </c>
    </row>
    <row r="5" spans="1:8" x14ac:dyDescent="0.25">
      <c r="A5" s="7" t="s">
        <v>162</v>
      </c>
      <c r="B5" s="3" t="s">
        <v>113</v>
      </c>
      <c r="C5" s="12">
        <v>44487</v>
      </c>
      <c r="D5" s="3" t="s">
        <v>89</v>
      </c>
      <c r="E5" s="3" t="s">
        <v>13</v>
      </c>
      <c r="F5" s="3" t="s">
        <v>109</v>
      </c>
      <c r="G5" s="3" t="s">
        <v>128</v>
      </c>
      <c r="H5" s="8" t="s">
        <v>111</v>
      </c>
    </row>
    <row r="6" spans="1:8" x14ac:dyDescent="0.25">
      <c r="A6" s="7" t="s">
        <v>161</v>
      </c>
      <c r="B6" s="3" t="s">
        <v>112</v>
      </c>
      <c r="C6" s="12">
        <v>44474</v>
      </c>
      <c r="D6" s="3" t="s">
        <v>90</v>
      </c>
      <c r="E6" s="3" t="s">
        <v>14</v>
      </c>
      <c r="F6" s="3" t="s">
        <v>104</v>
      </c>
      <c r="G6" s="3" t="s">
        <v>120</v>
      </c>
      <c r="H6" s="8" t="s">
        <v>121</v>
      </c>
    </row>
    <row r="7" spans="1:8" x14ac:dyDescent="0.25">
      <c r="A7" s="7" t="s">
        <v>162</v>
      </c>
      <c r="B7" s="3" t="s">
        <v>118</v>
      </c>
      <c r="C7" s="12">
        <v>44487</v>
      </c>
      <c r="D7" s="3" t="s">
        <v>90</v>
      </c>
      <c r="E7" s="3" t="s">
        <v>14</v>
      </c>
      <c r="F7" s="3" t="s">
        <v>114</v>
      </c>
      <c r="G7" s="3" t="s">
        <v>115</v>
      </c>
      <c r="H7" s="8" t="s">
        <v>111</v>
      </c>
    </row>
    <row r="8" spans="1:8" x14ac:dyDescent="0.25">
      <c r="A8" s="7" t="s">
        <v>161</v>
      </c>
      <c r="B8" s="3" t="s">
        <v>97</v>
      </c>
      <c r="C8" s="12">
        <v>44494</v>
      </c>
      <c r="D8" s="3" t="s">
        <v>89</v>
      </c>
      <c r="E8" s="3" t="s">
        <v>21</v>
      </c>
      <c r="F8" s="3" t="s">
        <v>109</v>
      </c>
      <c r="G8" s="3" t="s">
        <v>149</v>
      </c>
      <c r="H8" s="8" t="s">
        <v>106</v>
      </c>
    </row>
    <row r="9" spans="1:8" x14ac:dyDescent="0.25">
      <c r="A9" s="7" t="s">
        <v>161</v>
      </c>
      <c r="B9" s="3" t="s">
        <v>126</v>
      </c>
      <c r="C9" s="12">
        <v>44128</v>
      </c>
      <c r="D9" s="3" t="s">
        <v>88</v>
      </c>
      <c r="E9" s="3" t="s">
        <v>28</v>
      </c>
      <c r="F9" s="3" t="s">
        <v>104</v>
      </c>
      <c r="G9" s="3" t="s">
        <v>120</v>
      </c>
      <c r="H9" s="8" t="s">
        <v>101</v>
      </c>
    </row>
    <row r="10" spans="1:8" x14ac:dyDescent="0.25">
      <c r="A10" s="7" t="s">
        <v>161</v>
      </c>
      <c r="B10" s="3" t="s">
        <v>122</v>
      </c>
      <c r="C10" s="12">
        <v>44197</v>
      </c>
      <c r="D10" s="3" t="s">
        <v>91</v>
      </c>
      <c r="E10" s="3" t="s">
        <v>65</v>
      </c>
      <c r="F10" s="3" t="s">
        <v>114</v>
      </c>
      <c r="G10" s="3" t="s">
        <v>110</v>
      </c>
      <c r="H10" s="8" t="s">
        <v>152</v>
      </c>
    </row>
    <row r="11" spans="1:8" x14ac:dyDescent="0.25">
      <c r="A11" s="7" t="s">
        <v>161</v>
      </c>
      <c r="B11" s="3" t="s">
        <v>117</v>
      </c>
      <c r="C11" s="12">
        <v>44499</v>
      </c>
      <c r="D11" s="3" t="s">
        <v>90</v>
      </c>
      <c r="E11" s="3" t="s">
        <v>22</v>
      </c>
      <c r="F11" s="3" t="s">
        <v>109</v>
      </c>
      <c r="G11" s="3" t="s">
        <v>115</v>
      </c>
      <c r="H11" s="8" t="s">
        <v>129</v>
      </c>
    </row>
    <row r="12" spans="1:8" x14ac:dyDescent="0.25">
      <c r="A12" s="7" t="s">
        <v>162</v>
      </c>
      <c r="B12" s="3" t="s">
        <v>123</v>
      </c>
      <c r="C12" s="12">
        <v>44487</v>
      </c>
      <c r="D12" s="3" t="s">
        <v>89</v>
      </c>
      <c r="E12" s="3" t="s">
        <v>25</v>
      </c>
      <c r="F12" s="3" t="s">
        <v>109</v>
      </c>
      <c r="G12" s="3" t="s">
        <v>128</v>
      </c>
      <c r="H12" s="8" t="s">
        <v>125</v>
      </c>
    </row>
    <row r="13" spans="1:8" x14ac:dyDescent="0.25">
      <c r="A13" s="7" t="s">
        <v>162</v>
      </c>
      <c r="B13" s="3" t="s">
        <v>118</v>
      </c>
      <c r="C13" s="12">
        <v>44449</v>
      </c>
      <c r="D13" s="3" t="s">
        <v>91</v>
      </c>
      <c r="E13" s="3" t="s">
        <v>23</v>
      </c>
      <c r="F13" s="3" t="s">
        <v>114</v>
      </c>
      <c r="G13" s="3" t="s">
        <v>120</v>
      </c>
      <c r="H13" s="8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31F9-53D7-4A1C-AF68-4B55ED8A403F}">
  <sheetPr codeName="Hoja9"/>
  <dimension ref="A1:BK213"/>
  <sheetViews>
    <sheetView tabSelected="1" zoomScale="55" zoomScaleNormal="55" workbookViewId="0">
      <selection activeCell="N13" sqref="N13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25</xdr:col>
                <xdr:colOff>561975</xdr:colOff>
                <xdr:row>58</xdr:row>
                <xdr:rowOff>104775</xdr:rowOff>
              </from>
              <to>
                <xdr:col>28</xdr:col>
                <xdr:colOff>685800</xdr:colOff>
                <xdr:row>63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80"/>
  <sheetViews>
    <sheetView topLeftCell="A8" zoomScale="40" zoomScaleNormal="40" workbookViewId="0">
      <selection activeCell="B2" sqref="B2"/>
    </sheetView>
  </sheetViews>
  <sheetFormatPr baseColWidth="10" defaultRowHeight="15" x14ac:dyDescent="0.25"/>
  <cols>
    <col min="1" max="1" width="30.140625" bestFit="1" customWidth="1"/>
    <col min="2" max="2" width="28.42578125" bestFit="1" customWidth="1"/>
    <col min="3" max="3" width="57.7109375" bestFit="1" customWidth="1"/>
    <col min="4" max="4" width="51.28515625" bestFit="1" customWidth="1"/>
    <col min="5" max="5" width="43.42578125" bestFit="1" customWidth="1"/>
    <col min="6" max="6" width="27.7109375" bestFit="1" customWidth="1"/>
    <col min="7" max="7" width="24.14062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4" t="s">
        <v>163</v>
      </c>
      <c r="B3" t="s">
        <v>167</v>
      </c>
      <c r="C3" t="s">
        <v>168</v>
      </c>
      <c r="D3" t="s">
        <v>169</v>
      </c>
      <c r="E3" t="s">
        <v>170</v>
      </c>
      <c r="F3" t="s">
        <v>171</v>
      </c>
      <c r="G3" t="s">
        <v>172</v>
      </c>
    </row>
    <row r="4" spans="1:7" x14ac:dyDescent="0.25">
      <c r="A4" s="13">
        <v>44278</v>
      </c>
      <c r="B4" s="6">
        <v>422</v>
      </c>
      <c r="C4" s="6">
        <v>42323</v>
      </c>
      <c r="D4" s="6">
        <v>522</v>
      </c>
      <c r="E4" s="6">
        <v>52</v>
      </c>
      <c r="F4" s="6">
        <v>2</v>
      </c>
      <c r="G4" s="6">
        <v>452</v>
      </c>
    </row>
    <row r="5" spans="1:7" x14ac:dyDescent="0.25">
      <c r="A5" s="13">
        <v>44298</v>
      </c>
      <c r="B5" s="6">
        <v>432</v>
      </c>
      <c r="C5" s="6">
        <v>346</v>
      </c>
      <c r="D5" s="6">
        <v>876</v>
      </c>
      <c r="E5" s="6">
        <v>896</v>
      </c>
      <c r="F5" s="6">
        <v>768</v>
      </c>
      <c r="G5" s="6">
        <v>53</v>
      </c>
    </row>
    <row r="6" spans="1:7" x14ac:dyDescent="0.25">
      <c r="A6" s="13">
        <v>44444</v>
      </c>
      <c r="B6" s="6">
        <v>3</v>
      </c>
      <c r="C6" s="6">
        <v>5</v>
      </c>
      <c r="D6" s="6">
        <v>3</v>
      </c>
      <c r="E6" s="6">
        <v>37</v>
      </c>
      <c r="F6" s="6">
        <v>354</v>
      </c>
      <c r="G6" s="6">
        <v>2</v>
      </c>
    </row>
    <row r="7" spans="1:7" x14ac:dyDescent="0.25">
      <c r="A7" s="13">
        <v>44481</v>
      </c>
      <c r="B7" s="6">
        <v>214</v>
      </c>
      <c r="C7" s="6">
        <v>124</v>
      </c>
      <c r="D7" s="6">
        <v>256</v>
      </c>
      <c r="E7" s="6">
        <v>376</v>
      </c>
      <c r="F7" s="6">
        <v>6735</v>
      </c>
      <c r="G7" s="6">
        <v>4123</v>
      </c>
    </row>
    <row r="8" spans="1:7" x14ac:dyDescent="0.25">
      <c r="A8" s="13">
        <v>44488</v>
      </c>
      <c r="B8" s="6">
        <v>53</v>
      </c>
      <c r="C8" s="6">
        <v>3277</v>
      </c>
      <c r="D8" s="6">
        <v>119</v>
      </c>
      <c r="E8" s="6">
        <v>7903</v>
      </c>
      <c r="F8" s="6">
        <v>73</v>
      </c>
      <c r="G8" s="6">
        <v>6528</v>
      </c>
    </row>
    <row r="9" spans="1:7" x14ac:dyDescent="0.25">
      <c r="A9" s="13">
        <v>44492</v>
      </c>
      <c r="B9" s="6">
        <v>214</v>
      </c>
      <c r="C9" s="6">
        <v>42</v>
      </c>
      <c r="D9" s="6">
        <v>64</v>
      </c>
      <c r="E9" s="6">
        <v>7632</v>
      </c>
      <c r="F9" s="6">
        <v>35</v>
      </c>
      <c r="G9" s="6">
        <v>5</v>
      </c>
    </row>
    <row r="10" spans="1:7" x14ac:dyDescent="0.25">
      <c r="A10" s="13">
        <v>44494</v>
      </c>
      <c r="B10" s="6">
        <v>421</v>
      </c>
      <c r="C10" s="6">
        <v>154</v>
      </c>
      <c r="D10" s="6">
        <v>625</v>
      </c>
      <c r="E10" s="6">
        <v>76</v>
      </c>
      <c r="F10" s="6">
        <v>48</v>
      </c>
      <c r="G10" s="6">
        <v>354</v>
      </c>
    </row>
    <row r="11" spans="1:7" x14ac:dyDescent="0.25">
      <c r="A11" s="13">
        <v>44498</v>
      </c>
      <c r="B11" s="6">
        <v>246</v>
      </c>
      <c r="C11" s="6">
        <v>2465</v>
      </c>
      <c r="D11" s="6">
        <v>78</v>
      </c>
      <c r="E11" s="6">
        <v>291.14</v>
      </c>
      <c r="F11" s="6">
        <v>4124</v>
      </c>
      <c r="G11" s="6">
        <v>2605</v>
      </c>
    </row>
    <row r="12" spans="1:7" x14ac:dyDescent="0.25">
      <c r="A12" s="13">
        <v>44499</v>
      </c>
      <c r="B12" s="6">
        <v>418</v>
      </c>
      <c r="C12" s="6">
        <v>68</v>
      </c>
      <c r="D12" s="6">
        <v>143</v>
      </c>
      <c r="E12" s="6">
        <v>114</v>
      </c>
      <c r="F12" s="6">
        <v>128</v>
      </c>
      <c r="G12" s="6">
        <v>798</v>
      </c>
    </row>
    <row r="13" spans="1:7" x14ac:dyDescent="0.25">
      <c r="A13" s="13">
        <v>44500</v>
      </c>
      <c r="B13" s="6">
        <v>123</v>
      </c>
      <c r="C13" s="6">
        <v>43</v>
      </c>
      <c r="D13" s="6">
        <v>2645</v>
      </c>
      <c r="E13" s="6">
        <v>765</v>
      </c>
      <c r="F13" s="6">
        <v>135</v>
      </c>
      <c r="G13" s="6">
        <v>154</v>
      </c>
    </row>
    <row r="14" spans="1:7" x14ac:dyDescent="0.25">
      <c r="A14" s="13">
        <v>44510</v>
      </c>
      <c r="B14" s="6">
        <v>21</v>
      </c>
      <c r="C14" s="6">
        <v>32</v>
      </c>
      <c r="D14" s="6">
        <v>35</v>
      </c>
      <c r="E14" s="6">
        <v>56</v>
      </c>
      <c r="F14" s="6">
        <v>98</v>
      </c>
      <c r="G14" s="6">
        <v>93</v>
      </c>
    </row>
    <row r="15" spans="1:7" x14ac:dyDescent="0.25">
      <c r="A15" s="13">
        <v>44537</v>
      </c>
      <c r="B15" s="6">
        <v>42</v>
      </c>
      <c r="C15" s="6">
        <v>86</v>
      </c>
      <c r="D15" s="6">
        <v>490</v>
      </c>
      <c r="E15" s="6">
        <v>130</v>
      </c>
      <c r="F15" s="6">
        <v>1007</v>
      </c>
      <c r="G15" s="6">
        <v>355</v>
      </c>
    </row>
    <row r="16" spans="1:7" x14ac:dyDescent="0.25">
      <c r="A16" s="13">
        <v>44559</v>
      </c>
      <c r="B16" s="6">
        <v>1141</v>
      </c>
      <c r="C16" s="6">
        <v>532</v>
      </c>
      <c r="D16" s="6">
        <v>63356</v>
      </c>
      <c r="E16" s="6">
        <v>36</v>
      </c>
      <c r="F16" s="6">
        <v>321</v>
      </c>
      <c r="G16" s="6">
        <v>132</v>
      </c>
    </row>
    <row r="17" spans="1:7" x14ac:dyDescent="0.25">
      <c r="A17" s="13">
        <v>44614</v>
      </c>
      <c r="B17" s="6">
        <v>143</v>
      </c>
      <c r="C17" s="6">
        <v>4315</v>
      </c>
      <c r="D17" s="6">
        <v>3645</v>
      </c>
      <c r="E17" s="6">
        <v>63542</v>
      </c>
      <c r="F17" s="6">
        <v>4123</v>
      </c>
      <c r="G17" s="6">
        <v>2532</v>
      </c>
    </row>
    <row r="18" spans="1:7" x14ac:dyDescent="0.25">
      <c r="A18" s="5" t="s">
        <v>165</v>
      </c>
      <c r="B18" s="6">
        <v>3893</v>
      </c>
      <c r="C18" s="6">
        <v>53812</v>
      </c>
      <c r="D18" s="6">
        <v>72857</v>
      </c>
      <c r="E18" s="6">
        <v>81906.14</v>
      </c>
      <c r="F18" s="6">
        <v>17951</v>
      </c>
      <c r="G18" s="6">
        <v>18186</v>
      </c>
    </row>
    <row r="37" spans="1:7" x14ac:dyDescent="0.25">
      <c r="A37" s="4" t="s">
        <v>163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</row>
    <row r="38" spans="1:7" x14ac:dyDescent="0.25">
      <c r="A38" s="5" t="s">
        <v>19</v>
      </c>
      <c r="B38" s="6">
        <v>421</v>
      </c>
      <c r="C38" s="6">
        <v>154</v>
      </c>
      <c r="D38" s="6">
        <v>625</v>
      </c>
      <c r="E38" s="6">
        <v>76</v>
      </c>
      <c r="F38" s="6">
        <v>48</v>
      </c>
      <c r="G38" s="6">
        <v>354</v>
      </c>
    </row>
    <row r="39" spans="1:7" x14ac:dyDescent="0.25">
      <c r="A39" s="5" t="s">
        <v>9</v>
      </c>
      <c r="B39" s="6">
        <v>413</v>
      </c>
      <c r="C39" s="6">
        <v>3</v>
      </c>
      <c r="D39" s="6">
        <v>65</v>
      </c>
      <c r="E39" s="6">
        <v>31</v>
      </c>
      <c r="F39" s="6">
        <v>53</v>
      </c>
      <c r="G39" s="6">
        <v>13</v>
      </c>
    </row>
    <row r="40" spans="1:7" x14ac:dyDescent="0.25">
      <c r="A40" s="5" t="s">
        <v>21</v>
      </c>
      <c r="B40" s="6">
        <v>1</v>
      </c>
      <c r="C40" s="6">
        <v>42</v>
      </c>
      <c r="D40" s="6">
        <v>54</v>
      </c>
      <c r="E40" s="6">
        <v>57</v>
      </c>
      <c r="F40" s="6">
        <v>0</v>
      </c>
      <c r="G40" s="6">
        <v>254</v>
      </c>
    </row>
    <row r="41" spans="1:7" x14ac:dyDescent="0.25">
      <c r="A41" s="5" t="s">
        <v>33</v>
      </c>
      <c r="B41" s="6">
        <v>646</v>
      </c>
      <c r="C41" s="6">
        <v>388</v>
      </c>
      <c r="D41" s="6">
        <v>940</v>
      </c>
      <c r="E41" s="6">
        <v>8528</v>
      </c>
      <c r="F41" s="6">
        <v>803</v>
      </c>
      <c r="G41" s="6">
        <v>58</v>
      </c>
    </row>
    <row r="42" spans="1:7" x14ac:dyDescent="0.25">
      <c r="A42" s="5" t="s">
        <v>12</v>
      </c>
      <c r="B42" s="6">
        <v>21</v>
      </c>
      <c r="C42" s="6">
        <v>32</v>
      </c>
      <c r="D42" s="6">
        <v>35</v>
      </c>
      <c r="E42" s="6">
        <v>56</v>
      </c>
      <c r="F42" s="6">
        <v>98</v>
      </c>
      <c r="G42" s="6">
        <v>93</v>
      </c>
    </row>
    <row r="43" spans="1:7" x14ac:dyDescent="0.25">
      <c r="A43" s="5" t="s">
        <v>11</v>
      </c>
      <c r="B43" s="6">
        <v>422</v>
      </c>
      <c r="C43" s="6">
        <v>42323</v>
      </c>
      <c r="D43" s="6">
        <v>522</v>
      </c>
      <c r="E43" s="6">
        <v>52</v>
      </c>
      <c r="F43" s="6">
        <v>2</v>
      </c>
      <c r="G43" s="6">
        <v>452</v>
      </c>
    </row>
    <row r="44" spans="1:7" x14ac:dyDescent="0.25">
      <c r="A44" s="5" t="s">
        <v>6</v>
      </c>
      <c r="B44" s="6">
        <v>164</v>
      </c>
      <c r="C44" s="6">
        <v>4358</v>
      </c>
      <c r="D44" s="6">
        <v>3699</v>
      </c>
      <c r="E44" s="6">
        <v>63598</v>
      </c>
      <c r="F44" s="6">
        <v>4887</v>
      </c>
      <c r="G44" s="6">
        <v>2763</v>
      </c>
    </row>
    <row r="45" spans="1:7" x14ac:dyDescent="0.25">
      <c r="A45" s="5" t="s">
        <v>27</v>
      </c>
      <c r="B45" s="6">
        <v>1141</v>
      </c>
      <c r="C45" s="6">
        <v>532</v>
      </c>
      <c r="D45" s="6">
        <v>63356</v>
      </c>
      <c r="E45" s="6">
        <v>36</v>
      </c>
      <c r="F45" s="6">
        <v>321</v>
      </c>
      <c r="G45" s="6">
        <v>132</v>
      </c>
    </row>
    <row r="46" spans="1:7" x14ac:dyDescent="0.25">
      <c r="A46" s="5" t="s">
        <v>18</v>
      </c>
      <c r="B46" s="6">
        <v>21</v>
      </c>
      <c r="C46" s="6">
        <v>3234</v>
      </c>
      <c r="D46" s="6">
        <v>54</v>
      </c>
      <c r="E46" s="6">
        <v>23</v>
      </c>
      <c r="F46" s="6">
        <v>31</v>
      </c>
      <c r="G46" s="6">
        <v>4</v>
      </c>
    </row>
    <row r="47" spans="1:7" x14ac:dyDescent="0.25">
      <c r="A47" s="5" t="s">
        <v>26</v>
      </c>
      <c r="B47" s="6">
        <v>32</v>
      </c>
      <c r="C47" s="6">
        <v>43</v>
      </c>
      <c r="D47" s="6">
        <v>65</v>
      </c>
      <c r="E47" s="6">
        <v>7880</v>
      </c>
      <c r="F47" s="6">
        <v>42</v>
      </c>
      <c r="G47" s="6">
        <v>6524</v>
      </c>
    </row>
    <row r="48" spans="1:7" x14ac:dyDescent="0.25">
      <c r="A48" s="5" t="s">
        <v>7</v>
      </c>
      <c r="B48" s="6">
        <v>5</v>
      </c>
      <c r="C48" s="6">
        <v>65</v>
      </c>
      <c r="D48" s="6">
        <v>78</v>
      </c>
      <c r="E48" s="6">
        <v>83</v>
      </c>
      <c r="F48" s="6">
        <v>75</v>
      </c>
      <c r="G48" s="6">
        <v>785</v>
      </c>
    </row>
    <row r="49" spans="1:7" x14ac:dyDescent="0.25">
      <c r="A49" s="5" t="s">
        <v>47</v>
      </c>
      <c r="B49" s="6">
        <v>123</v>
      </c>
      <c r="C49" s="6">
        <v>43</v>
      </c>
      <c r="D49" s="6">
        <v>2645</v>
      </c>
      <c r="E49" s="6">
        <v>765</v>
      </c>
      <c r="F49" s="6">
        <v>135</v>
      </c>
      <c r="G49" s="6">
        <v>154</v>
      </c>
    </row>
    <row r="50" spans="1:7" x14ac:dyDescent="0.25">
      <c r="A50" s="5" t="s">
        <v>10</v>
      </c>
      <c r="B50" s="6">
        <v>21</v>
      </c>
      <c r="C50" s="6">
        <v>43</v>
      </c>
      <c r="D50" s="6">
        <v>436</v>
      </c>
      <c r="E50" s="6">
        <v>74</v>
      </c>
      <c r="F50" s="6">
        <v>243</v>
      </c>
      <c r="G50" s="6">
        <v>124</v>
      </c>
    </row>
    <row r="51" spans="1:7" x14ac:dyDescent="0.25">
      <c r="A51" s="5" t="s">
        <v>14</v>
      </c>
      <c r="B51" s="6">
        <v>214</v>
      </c>
      <c r="C51" s="6">
        <v>124</v>
      </c>
      <c r="D51" s="6">
        <v>256</v>
      </c>
      <c r="E51" s="6">
        <v>376</v>
      </c>
      <c r="F51" s="6">
        <v>6735</v>
      </c>
      <c r="G51" s="6">
        <v>4123</v>
      </c>
    </row>
    <row r="52" spans="1:7" x14ac:dyDescent="0.25">
      <c r="A52" s="5" t="s">
        <v>16</v>
      </c>
      <c r="B52" s="6">
        <v>245</v>
      </c>
      <c r="C52" s="6">
        <v>2423</v>
      </c>
      <c r="D52" s="6">
        <v>24</v>
      </c>
      <c r="E52" s="6">
        <v>234.14</v>
      </c>
      <c r="F52" s="6">
        <v>4124</v>
      </c>
      <c r="G52" s="6">
        <v>2351</v>
      </c>
    </row>
    <row r="53" spans="1:7" x14ac:dyDescent="0.25">
      <c r="A53" s="5" t="s">
        <v>13</v>
      </c>
      <c r="B53" s="6">
        <v>3</v>
      </c>
      <c r="C53" s="6">
        <v>5</v>
      </c>
      <c r="D53" s="6">
        <v>3</v>
      </c>
      <c r="E53" s="6">
        <v>37</v>
      </c>
      <c r="F53" s="6">
        <v>354</v>
      </c>
      <c r="G53" s="6">
        <v>2</v>
      </c>
    </row>
    <row r="54" spans="1:7" x14ac:dyDescent="0.25">
      <c r="A54" s="5" t="s">
        <v>165</v>
      </c>
      <c r="B54" s="6">
        <v>3893</v>
      </c>
      <c r="C54" s="6">
        <v>53812</v>
      </c>
      <c r="D54" s="6">
        <v>72857</v>
      </c>
      <c r="E54" s="6">
        <v>81906.14</v>
      </c>
      <c r="F54" s="6">
        <v>17951</v>
      </c>
      <c r="G54" s="6">
        <v>18186</v>
      </c>
    </row>
    <row r="75" spans="1:7" x14ac:dyDescent="0.25">
      <c r="A75" s="4" t="s">
        <v>163</v>
      </c>
      <c r="B75" t="s">
        <v>167</v>
      </c>
      <c r="C75" t="s">
        <v>168</v>
      </c>
      <c r="D75" t="s">
        <v>169</v>
      </c>
      <c r="E75" t="s">
        <v>170</v>
      </c>
      <c r="F75" t="s">
        <v>171</v>
      </c>
      <c r="G75" t="s">
        <v>172</v>
      </c>
    </row>
    <row r="76" spans="1:7" x14ac:dyDescent="0.25">
      <c r="A76" s="5" t="s">
        <v>91</v>
      </c>
      <c r="B76" s="6">
        <v>2112</v>
      </c>
      <c r="C76" s="6">
        <v>43117</v>
      </c>
      <c r="D76" s="6">
        <v>67226</v>
      </c>
      <c r="E76" s="6">
        <v>1012</v>
      </c>
      <c r="F76" s="6">
        <v>581</v>
      </c>
      <c r="G76" s="6">
        <v>1877</v>
      </c>
    </row>
    <row r="77" spans="1:7" x14ac:dyDescent="0.25">
      <c r="A77" s="5" t="s">
        <v>89</v>
      </c>
      <c r="B77" s="6">
        <v>1063</v>
      </c>
      <c r="C77" s="6">
        <v>438</v>
      </c>
      <c r="D77" s="6">
        <v>1062</v>
      </c>
      <c r="E77" s="6">
        <v>8653</v>
      </c>
      <c r="F77" s="6">
        <v>1210</v>
      </c>
      <c r="G77" s="6">
        <v>327</v>
      </c>
    </row>
    <row r="78" spans="1:7" x14ac:dyDescent="0.25">
      <c r="A78" s="5" t="s">
        <v>88</v>
      </c>
      <c r="B78" s="6">
        <v>266</v>
      </c>
      <c r="C78" s="6">
        <v>2455</v>
      </c>
      <c r="D78" s="6">
        <v>59</v>
      </c>
      <c r="E78" s="6">
        <v>290.14</v>
      </c>
      <c r="F78" s="6">
        <v>4222</v>
      </c>
      <c r="G78" s="6">
        <v>2444</v>
      </c>
    </row>
    <row r="79" spans="1:7" x14ac:dyDescent="0.25">
      <c r="A79" s="5" t="s">
        <v>90</v>
      </c>
      <c r="B79" s="6">
        <v>452</v>
      </c>
      <c r="C79" s="6">
        <v>7802</v>
      </c>
      <c r="D79" s="6">
        <v>4510</v>
      </c>
      <c r="E79" s="6">
        <v>71951</v>
      </c>
      <c r="F79" s="6">
        <v>11938</v>
      </c>
      <c r="G79" s="6">
        <v>13538</v>
      </c>
    </row>
    <row r="80" spans="1:7" x14ac:dyDescent="0.25">
      <c r="A80" s="5" t="s">
        <v>165</v>
      </c>
      <c r="B80" s="6">
        <v>3893</v>
      </c>
      <c r="C80" s="6">
        <v>53812</v>
      </c>
      <c r="D80" s="6">
        <v>72857</v>
      </c>
      <c r="E80" s="6">
        <v>81906.14</v>
      </c>
      <c r="F80" s="6">
        <v>17951</v>
      </c>
      <c r="G80" s="6">
        <v>18186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T33"/>
  <sheetViews>
    <sheetView topLeftCell="A13" zoomScale="58" workbookViewId="0">
      <selection activeCell="A28" sqref="A28"/>
    </sheetView>
  </sheetViews>
  <sheetFormatPr baseColWidth="10" defaultRowHeight="15" x14ac:dyDescent="0.25"/>
  <cols>
    <col min="1" max="1" width="40.7109375" bestFit="1" customWidth="1"/>
    <col min="2" max="2" width="33.42578125" bestFit="1" customWidth="1"/>
    <col min="3" max="3" width="16.85546875" bestFit="1" customWidth="1"/>
    <col min="4" max="4" width="11" bestFit="1" customWidth="1"/>
    <col min="5" max="5" width="18.5703125" bestFit="1" customWidth="1"/>
    <col min="6" max="6" width="12.5703125" bestFit="1" customWidth="1"/>
    <col min="7" max="7" width="13.28515625" bestFit="1" customWidth="1"/>
    <col min="8" max="8" width="12.5703125" bestFit="1" customWidth="1"/>
    <col min="9" max="9" width="76.28515625" bestFit="1" customWidth="1"/>
    <col min="10" max="10" width="55.5703125" bestFit="1" customWidth="1"/>
    <col min="11" max="11" width="26.28515625" bestFit="1" customWidth="1"/>
    <col min="12" max="12" width="11.42578125" bestFit="1" customWidth="1"/>
    <col min="13" max="13" width="42" bestFit="1" customWidth="1"/>
    <col min="14" max="14" width="18.42578125" bestFit="1" customWidth="1"/>
    <col min="15" max="15" width="33.42578125" bestFit="1" customWidth="1"/>
    <col min="16" max="16" width="12.42578125" bestFit="1" customWidth="1"/>
    <col min="17" max="17" width="12.7109375" bestFit="1" customWidth="1"/>
    <col min="18" max="18" width="14.85546875" bestFit="1" customWidth="1"/>
    <col min="19" max="19" width="16.85546875" bestFit="1" customWidth="1"/>
    <col min="20" max="20" width="18.5703125" bestFit="1" customWidth="1"/>
  </cols>
  <sheetData>
    <row r="1" spans="1:20" x14ac:dyDescent="0.25">
      <c r="A1" t="s">
        <v>174</v>
      </c>
    </row>
    <row r="3" spans="1:20" x14ac:dyDescent="0.25">
      <c r="A3" s="4" t="s">
        <v>163</v>
      </c>
      <c r="B3" t="s">
        <v>164</v>
      </c>
      <c r="I3" s="4" t="s">
        <v>164</v>
      </c>
      <c r="J3" s="4" t="s">
        <v>166</v>
      </c>
    </row>
    <row r="4" spans="1:20" x14ac:dyDescent="0.25">
      <c r="A4" s="5" t="s">
        <v>162</v>
      </c>
      <c r="B4" s="6">
        <v>5</v>
      </c>
      <c r="I4" s="4" t="s">
        <v>163</v>
      </c>
      <c r="J4" t="s">
        <v>117</v>
      </c>
      <c r="K4" t="s">
        <v>123</v>
      </c>
      <c r="L4" t="s">
        <v>122</v>
      </c>
      <c r="M4" t="s">
        <v>118</v>
      </c>
      <c r="N4" t="s">
        <v>126</v>
      </c>
      <c r="O4" t="s">
        <v>97</v>
      </c>
      <c r="P4" t="s">
        <v>112</v>
      </c>
      <c r="Q4" t="s">
        <v>113</v>
      </c>
      <c r="R4" t="s">
        <v>103</v>
      </c>
      <c r="S4" t="s">
        <v>177</v>
      </c>
      <c r="T4" t="s">
        <v>165</v>
      </c>
    </row>
    <row r="5" spans="1:20" x14ac:dyDescent="0.25">
      <c r="A5" s="5" t="s">
        <v>161</v>
      </c>
      <c r="B5" s="6">
        <v>5</v>
      </c>
      <c r="I5" s="5" t="s">
        <v>162</v>
      </c>
      <c r="J5" s="6"/>
      <c r="K5" s="6">
        <v>1</v>
      </c>
      <c r="L5" s="6"/>
      <c r="M5" s="6">
        <v>2</v>
      </c>
      <c r="N5" s="6"/>
      <c r="O5" s="6"/>
      <c r="P5" s="6"/>
      <c r="Q5" s="6">
        <v>1</v>
      </c>
      <c r="R5" s="6">
        <v>1</v>
      </c>
      <c r="S5" s="6"/>
      <c r="T5" s="6">
        <v>5</v>
      </c>
    </row>
    <row r="6" spans="1:20" x14ac:dyDescent="0.25">
      <c r="A6" s="5" t="s">
        <v>176</v>
      </c>
      <c r="B6" s="6">
        <v>2</v>
      </c>
      <c r="I6" s="5" t="s">
        <v>161</v>
      </c>
      <c r="J6" s="6">
        <v>1</v>
      </c>
      <c r="K6" s="6"/>
      <c r="L6" s="6">
        <v>1</v>
      </c>
      <c r="M6" s="6"/>
      <c r="N6" s="6">
        <v>1</v>
      </c>
      <c r="O6" s="6">
        <v>1</v>
      </c>
      <c r="P6" s="6">
        <v>1</v>
      </c>
      <c r="Q6" s="6"/>
      <c r="R6" s="6"/>
      <c r="S6" s="6"/>
      <c r="T6" s="6">
        <v>5</v>
      </c>
    </row>
    <row r="7" spans="1:20" x14ac:dyDescent="0.25">
      <c r="A7" s="5" t="s">
        <v>165</v>
      </c>
      <c r="B7" s="6">
        <v>12</v>
      </c>
      <c r="I7" s="5" t="s">
        <v>176</v>
      </c>
      <c r="J7" s="6"/>
      <c r="K7" s="6"/>
      <c r="L7" s="6"/>
      <c r="M7" s="6"/>
      <c r="N7" s="6"/>
      <c r="O7" s="6"/>
      <c r="P7" s="6"/>
      <c r="Q7" s="6"/>
      <c r="R7" s="6"/>
      <c r="S7" s="6">
        <v>2</v>
      </c>
      <c r="T7" s="6">
        <v>2</v>
      </c>
    </row>
    <row r="8" spans="1:20" x14ac:dyDescent="0.25">
      <c r="I8" s="5" t="s">
        <v>165</v>
      </c>
      <c r="J8" s="6">
        <v>1</v>
      </c>
      <c r="K8" s="6">
        <v>1</v>
      </c>
      <c r="L8" s="6">
        <v>1</v>
      </c>
      <c r="M8" s="6">
        <v>2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2</v>
      </c>
      <c r="T8" s="6">
        <v>12</v>
      </c>
    </row>
    <row r="25" spans="1:5" x14ac:dyDescent="0.25">
      <c r="A25" t="s">
        <v>175</v>
      </c>
    </row>
    <row r="27" spans="1:5" x14ac:dyDescent="0.25">
      <c r="A27" s="4" t="s">
        <v>173</v>
      </c>
      <c r="B27" s="4" t="s">
        <v>166</v>
      </c>
    </row>
    <row r="28" spans="1:5" x14ac:dyDescent="0.25">
      <c r="A28" s="4" t="s">
        <v>163</v>
      </c>
      <c r="B28" t="s">
        <v>162</v>
      </c>
      <c r="C28" t="s">
        <v>161</v>
      </c>
      <c r="D28" t="s">
        <v>176</v>
      </c>
      <c r="E28" t="s">
        <v>165</v>
      </c>
    </row>
    <row r="29" spans="1:5" x14ac:dyDescent="0.25">
      <c r="A29" s="5" t="s">
        <v>109</v>
      </c>
      <c r="B29" s="6">
        <v>2</v>
      </c>
      <c r="C29" s="6">
        <v>2</v>
      </c>
      <c r="D29" s="6">
        <v>2</v>
      </c>
      <c r="E29" s="6">
        <v>6</v>
      </c>
    </row>
    <row r="30" spans="1:5" x14ac:dyDescent="0.25">
      <c r="A30" s="5" t="s">
        <v>114</v>
      </c>
      <c r="B30" s="6">
        <v>2</v>
      </c>
      <c r="C30" s="6">
        <v>1</v>
      </c>
      <c r="D30" s="6"/>
      <c r="E30" s="6">
        <v>3</v>
      </c>
    </row>
    <row r="31" spans="1:5" x14ac:dyDescent="0.25">
      <c r="A31" s="5" t="s">
        <v>104</v>
      </c>
      <c r="B31" s="6"/>
      <c r="C31" s="6">
        <v>2</v>
      </c>
      <c r="D31" s="6"/>
      <c r="E31" s="6">
        <v>2</v>
      </c>
    </row>
    <row r="32" spans="1:5" x14ac:dyDescent="0.25">
      <c r="A32" s="5" t="s">
        <v>99</v>
      </c>
      <c r="B32" s="6">
        <v>1</v>
      </c>
      <c r="C32" s="6"/>
      <c r="D32" s="6"/>
      <c r="E32" s="6">
        <v>1</v>
      </c>
    </row>
    <row r="33" spans="1:5" x14ac:dyDescent="0.25">
      <c r="A33" s="5" t="s">
        <v>165</v>
      </c>
      <c r="B33" s="6">
        <v>5</v>
      </c>
      <c r="C33" s="6">
        <v>5</v>
      </c>
      <c r="D33" s="6">
        <v>2</v>
      </c>
      <c r="E33" s="6">
        <v>12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DashboardGC</vt:lpstr>
      <vt:lpstr>SecurityAndHealthy</vt:lpstr>
      <vt:lpstr>DashboardSH</vt:lpstr>
      <vt:lpstr>DataBoxSH</vt:lpstr>
      <vt:lpstr>PersonByArea</vt:lpstr>
      <vt:lpstr>GarbageClassificationDT</vt:lpstr>
      <vt:lpstr>SecurityAndHealthyDT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2021-10-28T05:07:06Z</dcterms:modified>
</cp:coreProperties>
</file>